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i/Documents/"/>
    </mc:Choice>
  </mc:AlternateContent>
  <xr:revisionPtr revIDLastSave="0" documentId="8_{9AE26EF9-282C-DB41-B5BB-84CD8E664EA2}" xr6:coauthVersionLast="47" xr6:coauthVersionMax="47" xr10:uidLastSave="{00000000-0000-0000-0000-000000000000}"/>
  <bookViews>
    <workbookView xWindow="40" yWindow="500" windowWidth="28040" windowHeight="16140" xr2:uid="{3C25E340-2264-9244-B30E-55252E3A3892}"/>
  </bookViews>
  <sheets>
    <sheet name="modelo liga" sheetId="1" r:id="rId1"/>
    <sheet name="modelo serie a" sheetId="3" r:id="rId2"/>
    <sheet name="modelo premier" sheetId="2" r:id="rId3"/>
  </sheets>
  <definedNames>
    <definedName name="solver_adj" localSheetId="0" hidden="1">'modelo liga'!$M$2:$T$2</definedName>
    <definedName name="solver_adj" localSheetId="1" hidden="1">'modelo serie a'!$O$2:$V$2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itr" localSheetId="0" hidden="1">2147483647</definedName>
    <definedName name="solver_itr" localSheetId="1" hidden="1">2147483647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opt" localSheetId="0" hidden="1">'modelo liga'!$N$5</definedName>
    <definedName name="solver_opt" localSheetId="1" hidden="1">'modelo serie a'!$P$5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5" i="1"/>
  <c r="P21" i="1"/>
  <c r="P23" i="1" s="1"/>
  <c r="O21" i="1"/>
  <c r="O23" i="1" s="1"/>
  <c r="R19" i="1"/>
  <c r="P19" i="1"/>
  <c r="O19" i="1"/>
  <c r="O12" i="3"/>
  <c r="M27" i="1"/>
  <c r="M25" i="1"/>
  <c r="M26" i="1"/>
  <c r="M13" i="1"/>
  <c r="M14" i="1"/>
  <c r="M15" i="1"/>
  <c r="M16" i="1"/>
  <c r="M17" i="1"/>
  <c r="M18" i="1"/>
  <c r="M19" i="1"/>
  <c r="M20" i="1"/>
  <c r="M21" i="1"/>
  <c r="M22" i="1"/>
  <c r="M23" i="1"/>
  <c r="M24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AG8" i="3"/>
  <c r="Y6" i="3" s="1"/>
  <c r="W13" i="1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O6" i="3" s="1"/>
  <c r="E2" i="3"/>
  <c r="D2" i="3"/>
  <c r="C2" i="3"/>
  <c r="B2" i="3"/>
  <c r="E9" i="1"/>
  <c r="D9" i="1"/>
  <c r="C9" i="1"/>
  <c r="B9" i="1"/>
  <c r="M12" i="1" s="1"/>
  <c r="E8" i="1"/>
  <c r="D8" i="1"/>
  <c r="C8" i="1"/>
  <c r="B8" i="1"/>
  <c r="M11" i="1" s="1"/>
  <c r="E7" i="1"/>
  <c r="D7" i="1"/>
  <c r="C7" i="1"/>
  <c r="B7" i="1"/>
  <c r="M10" i="1" s="1"/>
  <c r="E6" i="1"/>
  <c r="D6" i="1"/>
  <c r="C6" i="1"/>
  <c r="B6" i="1"/>
  <c r="M9" i="1" s="1"/>
  <c r="E5" i="1"/>
  <c r="D5" i="1"/>
  <c r="C5" i="1"/>
  <c r="B5" i="1"/>
  <c r="M8" i="1" s="1"/>
  <c r="E4" i="1"/>
  <c r="D4" i="1"/>
  <c r="C4" i="1"/>
  <c r="B4" i="1"/>
  <c r="M7" i="1" s="1"/>
  <c r="E3" i="1"/>
  <c r="D3" i="1"/>
  <c r="C3" i="1"/>
  <c r="B3" i="1"/>
  <c r="E2" i="1"/>
  <c r="D2" i="1"/>
  <c r="C2" i="1"/>
  <c r="B2" i="1"/>
  <c r="M28" i="1" l="1"/>
  <c r="N5" i="1" s="1"/>
  <c r="O10" i="3"/>
  <c r="O5" i="3"/>
  <c r="O7" i="3"/>
  <c r="O8" i="3"/>
  <c r="O9" i="3"/>
  <c r="O11" i="3"/>
  <c r="AB11" i="3"/>
  <c r="X11" i="3"/>
  <c r="AC11" i="3"/>
  <c r="AF11" i="3"/>
  <c r="AE11" i="3"/>
  <c r="AA11" i="3"/>
  <c r="AD11" i="3"/>
  <c r="Z11" i="3"/>
  <c r="P5" i="3" l="1"/>
</calcChain>
</file>

<file path=xl/sharedStrings.xml><?xml version="1.0" encoding="utf-8"?>
<sst xmlns="http://schemas.openxmlformats.org/spreadsheetml/2006/main" count="71" uniqueCount="32">
  <si>
    <t>partido</t>
  </si>
  <si>
    <t>XG sumado</t>
  </si>
  <si>
    <t>XGA sumado</t>
  </si>
  <si>
    <t>PPDA sumado</t>
  </si>
  <si>
    <t>OPPDA sumado</t>
  </si>
  <si>
    <t>expulsados</t>
  </si>
  <si>
    <t>juega portero titular</t>
  </si>
  <si>
    <t>juega mejor goleador</t>
  </si>
  <si>
    <t>goles totales</t>
  </si>
  <si>
    <t xml:space="preserve">partido calve o derbi </t>
  </si>
  <si>
    <t>beta 1</t>
  </si>
  <si>
    <t>beta 2</t>
  </si>
  <si>
    <t>beta 3</t>
  </si>
  <si>
    <t>beta 4</t>
  </si>
  <si>
    <t>beta 5</t>
  </si>
  <si>
    <t>beta 6</t>
  </si>
  <si>
    <t>beta 7</t>
  </si>
  <si>
    <t>beta 8</t>
  </si>
  <si>
    <t>probabilidad</t>
  </si>
  <si>
    <t>suma</t>
  </si>
  <si>
    <t>min</t>
  </si>
  <si>
    <t>predictor</t>
  </si>
  <si>
    <t xml:space="preserve">ecuacion </t>
  </si>
  <si>
    <t xml:space="preserve">intervalo de confianza </t>
  </si>
  <si>
    <t>n</t>
  </si>
  <si>
    <t>k</t>
  </si>
  <si>
    <t xml:space="preserve">confianza del </t>
  </si>
  <si>
    <t>p</t>
  </si>
  <si>
    <t>chi cuadrada sup</t>
  </si>
  <si>
    <t>chi cuadrda inf</t>
  </si>
  <si>
    <t>lambda 1</t>
  </si>
  <si>
    <t>lambda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</si>
</sst>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0" formatCode="0.0000"/>
    <numFmt numFmtId="172" formatCode="0.000000"/>
    <numFmt numFmtId="173" formatCode="0.0000000"/>
    <numFmt numFmtId="174" formatCode="0.00000000"/>
    <numFmt numFmtId="175" formatCode="0.000000000"/>
    <numFmt numFmtId="177" formatCode="0.00000000000"/>
    <numFmt numFmtId="178" formatCode="0.00000000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2" fillId="0" borderId="0" xfId="0" applyFont="1"/>
    <xf numFmtId="177" fontId="2" fillId="0" borderId="0" xfId="0" applyNumberFormat="1" applyFont="1"/>
    <xf numFmtId="2" fontId="0" fillId="0" borderId="0" xfId="0" applyNumberFormat="1"/>
    <xf numFmtId="170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8" fontId="0" fillId="0" borderId="0" xfId="0" applyNumberFormat="1"/>
    <xf numFmtId="9" fontId="0" fillId="0" borderId="0" xfId="1" applyFont="1"/>
    <xf numFmtId="0" fontId="0" fillId="0" borderId="0" xfId="0" applyFill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0E6E-46EA-7B43-875A-F82C55BC99FF}">
  <dimension ref="A1:W29"/>
  <sheetViews>
    <sheetView tabSelected="1" workbookViewId="0">
      <selection activeCell="O15" sqref="O15"/>
    </sheetView>
  </sheetViews>
  <sheetFormatPr baseColWidth="10" defaultRowHeight="16" x14ac:dyDescent="0.2"/>
  <cols>
    <col min="3" max="3" width="15" customWidth="1"/>
    <col min="4" max="4" width="14.1640625" customWidth="1"/>
    <col min="5" max="5" width="17.83203125" customWidth="1"/>
    <col min="7" max="7" width="20" customWidth="1"/>
    <col min="8" max="8" width="24" customWidth="1"/>
    <col min="9" max="9" width="18.83203125" customWidth="1"/>
    <col min="10" max="10" width="12.6640625" customWidth="1"/>
    <col min="12" max="12" width="19.1640625" customWidth="1"/>
    <col min="13" max="13" width="20.83203125" customWidth="1"/>
    <col min="14" max="14" width="22" customWidth="1"/>
    <col min="15" max="15" width="31" customWidth="1"/>
    <col min="16" max="16" width="23.33203125" customWidth="1"/>
    <col min="17" max="17" width="16.33203125" customWidth="1"/>
    <col min="18" max="18" width="19" customWidth="1"/>
    <col min="19" max="19" width="22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M1" s="2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3" x14ac:dyDescent="0.2">
      <c r="A2">
        <v>1</v>
      </c>
      <c r="B2">
        <f>42.32/19</f>
        <v>2.2273684210526317</v>
      </c>
      <c r="C2">
        <f>47.6/19</f>
        <v>2.5052631578947371</v>
      </c>
      <c r="D2">
        <f>19.11/19</f>
        <v>1.0057894736842106</v>
      </c>
      <c r="E2">
        <f>21.12/19</f>
        <v>1.111578947368421</v>
      </c>
      <c r="F2">
        <v>0</v>
      </c>
      <c r="G2">
        <v>1</v>
      </c>
      <c r="H2">
        <v>0</v>
      </c>
      <c r="I2">
        <v>0</v>
      </c>
      <c r="J2">
        <v>3</v>
      </c>
      <c r="M2" s="3">
        <v>7.8738812383062878E-2</v>
      </c>
      <c r="N2" s="9">
        <v>0.15709942330158286</v>
      </c>
      <c r="O2" s="9">
        <v>0</v>
      </c>
      <c r="P2" s="7">
        <v>0</v>
      </c>
      <c r="Q2" s="10">
        <v>2.8700827669206678E-2</v>
      </c>
      <c r="R2" s="10">
        <v>0</v>
      </c>
      <c r="S2" s="6">
        <v>0.34061566557561201</v>
      </c>
      <c r="T2" s="8">
        <v>0.26904817664283598</v>
      </c>
    </row>
    <row r="3" spans="1:23" x14ac:dyDescent="0.2">
      <c r="A3">
        <v>2</v>
      </c>
      <c r="B3">
        <f>48.06/18</f>
        <v>2.67</v>
      </c>
      <c r="C3">
        <f>56.95/18</f>
        <v>3.1638888888888892</v>
      </c>
      <c r="D3">
        <f>26.11/18</f>
        <v>1.4505555555555556</v>
      </c>
      <c r="E3">
        <f>22.79/18</f>
        <v>1.266111111111111</v>
      </c>
      <c r="F3">
        <v>0</v>
      </c>
      <c r="G3">
        <v>1</v>
      </c>
      <c r="H3">
        <v>0</v>
      </c>
      <c r="I3">
        <v>1</v>
      </c>
      <c r="J3">
        <v>2</v>
      </c>
      <c r="M3" s="2"/>
    </row>
    <row r="4" spans="1:23" x14ac:dyDescent="0.2">
      <c r="A4">
        <v>3</v>
      </c>
      <c r="B4">
        <f>(33.69/18) + (24.19/17)</f>
        <v>3.2946078431372552</v>
      </c>
      <c r="C4">
        <f>(22.99/18) + (24.51/17)</f>
        <v>2.7189869281045751</v>
      </c>
      <c r="D4">
        <f>(15.08/18) + (9.58/17)</f>
        <v>1.4013071895424836</v>
      </c>
      <c r="E4">
        <f>(10.32/18) + (8.91/17)</f>
        <v>1.097450980392157</v>
      </c>
      <c r="F4">
        <v>1</v>
      </c>
      <c r="G4">
        <v>1</v>
      </c>
      <c r="H4">
        <v>1</v>
      </c>
      <c r="I4">
        <v>0</v>
      </c>
      <c r="J4">
        <v>4</v>
      </c>
      <c r="M4" s="2" t="s">
        <v>18</v>
      </c>
      <c r="N4" t="s">
        <v>20</v>
      </c>
    </row>
    <row r="5" spans="1:23" x14ac:dyDescent="0.2">
      <c r="A5">
        <v>4</v>
      </c>
      <c r="B5">
        <f>42.54/18</f>
        <v>2.3633333333333333</v>
      </c>
      <c r="C5">
        <f>63.16/18</f>
        <v>3.5088888888888885</v>
      </c>
      <c r="D5">
        <f>28.22/18</f>
        <v>1.5677777777777777</v>
      </c>
      <c r="E5">
        <f>20.12/18</f>
        <v>1.1177777777777778</v>
      </c>
      <c r="F5">
        <v>0</v>
      </c>
      <c r="G5">
        <v>1</v>
      </c>
      <c r="H5">
        <v>1</v>
      </c>
      <c r="I5">
        <v>0</v>
      </c>
      <c r="J5">
        <v>1</v>
      </c>
      <c r="M5" s="2">
        <f>-EXP(SUM($M$2*B2,$N$2*C2,$O$2*D2,$P$2*E2,$Q$2*F2,$R$2*G2,$S$2*H2,$T$2*I2))+J2*SUM($M$2*B2,$N$2*C2,$O$2*D2,$P$2*E2,$Q$2*F2,$R$2*G2,$S$2*H2,$T$2*I2)-LN(FACT(J2))</f>
        <v>-1.8513137320079021</v>
      </c>
      <c r="N5">
        <f>LOG10(-M28)</f>
        <v>1.5805238179373189</v>
      </c>
    </row>
    <row r="6" spans="1:23" x14ac:dyDescent="0.2">
      <c r="A6">
        <v>5</v>
      </c>
      <c r="B6">
        <f>46.3/18</f>
        <v>2.572222222222222</v>
      </c>
      <c r="C6">
        <f>57.82/18</f>
        <v>3.2122222222222221</v>
      </c>
      <c r="D6">
        <f>22.36/18</f>
        <v>1.2422222222222221</v>
      </c>
      <c r="E6">
        <f>22.04/18</f>
        <v>1.2244444444444444</v>
      </c>
      <c r="F6">
        <v>0</v>
      </c>
      <c r="G6">
        <v>1</v>
      </c>
      <c r="H6">
        <v>0</v>
      </c>
      <c r="I6">
        <v>1</v>
      </c>
      <c r="J6">
        <v>2</v>
      </c>
      <c r="M6" s="2">
        <f>-EXP(SUM($M$2*B3,$N$2*C3,$O$2*D3,$P$2*E3,$Q$2*F3,$R$2*G3,$S$2*H3,$T$2*I3))+J3*SUM($M$2*B3,$N$2*C3,$O$2*D3,$P$2*E3,$Q$2*F3,$R$2*G3,$S$2*H3,$T$2*I3)-LN(FACT(J3))</f>
        <v>-1.3951801222890721</v>
      </c>
    </row>
    <row r="7" spans="1:23" x14ac:dyDescent="0.2">
      <c r="A7">
        <v>6</v>
      </c>
      <c r="B7">
        <f>45.67/18</f>
        <v>2.5372222222222223</v>
      </c>
      <c r="C7">
        <f>58.76/18</f>
        <v>3.2644444444444445</v>
      </c>
      <c r="D7">
        <f>22.35/18</f>
        <v>1.2416666666666667</v>
      </c>
      <c r="E7">
        <f>22.91/18</f>
        <v>1.2727777777777778</v>
      </c>
      <c r="F7">
        <v>0</v>
      </c>
      <c r="G7">
        <v>1</v>
      </c>
      <c r="H7">
        <v>1</v>
      </c>
      <c r="I7">
        <v>0</v>
      </c>
      <c r="J7">
        <v>3</v>
      </c>
      <c r="M7" s="2">
        <f>-EXP(SUM($M$2*B4,$N$2*C4,$O$2*D4,$P$2*E4,$Q$2*F4,$R$2*G4,$S$2*H4,$T$2*I4))+J4*SUM($M$2*B4,$N$2*C4,$O$2*D4,$P$2*E4,$Q$2*F4,$R$2*G4,$S$2*H4,$T$2*I4)-LN(FACT(J4))</f>
        <v>-1.8290359935989837</v>
      </c>
    </row>
    <row r="8" spans="1:23" x14ac:dyDescent="0.2">
      <c r="A8">
        <v>7</v>
      </c>
      <c r="B8">
        <f>(25.65/17) + (29.12/18)</f>
        <v>3.1266013071895422</v>
      </c>
      <c r="C8">
        <f>(33.11/17) + (25.39/18)</f>
        <v>3.3582026143790848</v>
      </c>
      <c r="D8">
        <f>(13.16/17) + (12.75/18)</f>
        <v>1.4824509803921568</v>
      </c>
      <c r="E8">
        <f xml:space="preserve"> (8.82/17) + (9.38/18)</f>
        <v>1.0399346405228758</v>
      </c>
      <c r="F8">
        <v>0</v>
      </c>
      <c r="G8">
        <v>1</v>
      </c>
      <c r="H8">
        <v>1</v>
      </c>
      <c r="I8">
        <v>0</v>
      </c>
      <c r="J8">
        <v>2</v>
      </c>
      <c r="M8" s="2">
        <f>-EXP(SUM($M$2*B5,$N$2*C5,$O$2*D5,$P$2*E5,$Q$2*F5,$R$2*G5,$S$2*H5,$T$2*I5))+J5*SUM($M$2*B5,$N$2*C5,$O$2*D5,$P$2*E5,$Q$2*F5,$R$2*G5,$S$2*H5,$T$2*I5)-LN(FACT(J5))</f>
        <v>-1.8606916704751351</v>
      </c>
    </row>
    <row r="9" spans="1:23" x14ac:dyDescent="0.2">
      <c r="A9">
        <v>8</v>
      </c>
      <c r="B9">
        <f>43.73/18</f>
        <v>2.4294444444444441</v>
      </c>
      <c r="C9">
        <f>59.43/18</f>
        <v>3.3016666666666667</v>
      </c>
      <c r="D9" s="1">
        <f>22.17/18</f>
        <v>1.2316666666666667</v>
      </c>
      <c r="E9">
        <f>23.26/18</f>
        <v>1.2922222222222224</v>
      </c>
      <c r="F9">
        <v>1</v>
      </c>
      <c r="G9">
        <v>0</v>
      </c>
      <c r="H9">
        <v>1</v>
      </c>
      <c r="I9">
        <v>0</v>
      </c>
      <c r="J9">
        <v>1</v>
      </c>
      <c r="M9" s="2">
        <f>-EXP(SUM($M$2*B6,$N$2*C6,$O$2*D6,$P$2*E6,$Q$2*F6,$R$2*G6,$S$2*H6,$T$2*I6))+J6*SUM($M$2*B6,$N$2*C6,$O$2*D6,$P$2*E6,$Q$2*F6,$R$2*G6,$S$2*H6,$T$2*I6)-LN(FACT(J6))</f>
        <v>-1.3951108928898437</v>
      </c>
    </row>
    <row r="10" spans="1:23" x14ac:dyDescent="0.2">
      <c r="A10">
        <v>9</v>
      </c>
      <c r="B10">
        <f>(20.9+23.52)/19</f>
        <v>2.3378947368421055</v>
      </c>
      <c r="C10">
        <f>(31.1+33.7)/19</f>
        <v>3.4105263157894741</v>
      </c>
      <c r="D10">
        <f>(8.72+8.31)/19</f>
        <v>0.89631578947368429</v>
      </c>
      <c r="E10">
        <f>(11.58+10.37)/19</f>
        <v>1.1552631578947368</v>
      </c>
      <c r="F10">
        <v>0</v>
      </c>
      <c r="G10">
        <v>1</v>
      </c>
      <c r="H10">
        <v>1</v>
      </c>
      <c r="I10">
        <v>0</v>
      </c>
      <c r="J10">
        <v>4</v>
      </c>
      <c r="M10" s="2">
        <f>-EXP(SUM($M$2*B7,$N$2*C7,$O$2*D7,$P$2*E7,$Q$2*F7,$R$2*G7,$S$2*H7,$T$2*I7))+J7*SUM($M$2*B7,$N$2*C7,$O$2*D7,$P$2*E7,$Q$2*F7,$R$2*G7,$S$2*H7,$T$2*I7)-LN(FACT(J7))</f>
        <v>-1.4989649420260132</v>
      </c>
    </row>
    <row r="11" spans="1:23" x14ac:dyDescent="0.2">
      <c r="A11">
        <v>10</v>
      </c>
      <c r="B11">
        <f>41.54/19</f>
        <v>2.1863157894736842</v>
      </c>
      <c r="C11">
        <f>54.1/19</f>
        <v>2.8473684210526318</v>
      </c>
      <c r="D11">
        <f>23.29/19</f>
        <v>1.2257894736842105</v>
      </c>
      <c r="E11">
        <f>16.37/19</f>
        <v>0.86157894736842111</v>
      </c>
      <c r="F11">
        <v>0</v>
      </c>
      <c r="G11">
        <v>1</v>
      </c>
      <c r="H11">
        <v>0</v>
      </c>
      <c r="I11">
        <v>0</v>
      </c>
      <c r="J11">
        <v>1</v>
      </c>
      <c r="M11" s="2">
        <f>-EXP(SUM($M$2*B8,$N$2*C8,$O$2*D8,$P$2*E8,$Q$2*F8,$R$2*G8,$S$2*H8,$T$2*I8))+J8*SUM($M$2*B8,$N$2*C8,$O$2*D8,$P$2*E8,$Q$2*F8,$R$2*G8,$S$2*H8,$T$2*I8)-LN(FACT(J8))</f>
        <v>-1.5120570766185191</v>
      </c>
      <c r="O11" t="s">
        <v>21</v>
      </c>
    </row>
    <row r="12" spans="1:23" x14ac:dyDescent="0.2">
      <c r="A12">
        <v>11</v>
      </c>
      <c r="B12">
        <f>54.39/19</f>
        <v>2.8626315789473686</v>
      </c>
      <c r="C12">
        <f>56.89/19</f>
        <v>2.9942105263157894</v>
      </c>
      <c r="D12">
        <f>21.6/19</f>
        <v>1.1368421052631579</v>
      </c>
      <c r="E12">
        <f>26.23/19</f>
        <v>1.3805263157894736</v>
      </c>
      <c r="F12">
        <v>1</v>
      </c>
      <c r="G12">
        <v>1</v>
      </c>
      <c r="H12">
        <v>1</v>
      </c>
      <c r="I12">
        <v>0</v>
      </c>
      <c r="J12">
        <v>3</v>
      </c>
      <c r="M12" s="2">
        <f>-EXP(SUM($M$2*B9,$N$2*C9,$O$2*D9,$P$2*E9,$Q$2*F9,$R$2*G9,$S$2*H9,$T$2*I9))+J9*SUM($M$2*B9,$N$2*C9,$O$2*D9,$P$2*E9,$Q$2*F9,$R$2*G9,$S$2*H9,$T$2*I9)-LN(FACT(J9))</f>
        <v>-1.8633150974747756</v>
      </c>
      <c r="O12" t="s">
        <v>1</v>
      </c>
      <c r="P12" t="s">
        <v>2</v>
      </c>
      <c r="Q12" t="s">
        <v>3</v>
      </c>
      <c r="R12" t="s">
        <v>4</v>
      </c>
      <c r="S12" t="s">
        <v>5</v>
      </c>
      <c r="T12" t="s">
        <v>6</v>
      </c>
      <c r="U12" t="s">
        <v>7</v>
      </c>
      <c r="V12" t="s">
        <v>9</v>
      </c>
      <c r="W12" t="s">
        <v>8</v>
      </c>
    </row>
    <row r="13" spans="1:23" x14ac:dyDescent="0.2">
      <c r="A13">
        <v>12</v>
      </c>
      <c r="B13">
        <f xml:space="preserve"> 60.88/19</f>
        <v>3.2042105263157894</v>
      </c>
      <c r="C13">
        <f>48.81/19</f>
        <v>2.5689473684210529</v>
      </c>
      <c r="D13">
        <f>20.48/19</f>
        <v>1.0778947368421052</v>
      </c>
      <c r="E13">
        <f>23.08/19</f>
        <v>1.2147368421052631</v>
      </c>
      <c r="F13">
        <v>1</v>
      </c>
      <c r="G13">
        <v>1</v>
      </c>
      <c r="H13">
        <v>1</v>
      </c>
      <c r="I13">
        <v>0</v>
      </c>
      <c r="J13">
        <v>1</v>
      </c>
      <c r="M13" s="2">
        <f t="shared" ref="M13:M29" si="0">-EXP(SUM($M$2*B10,$N$2*C10,$O$2*D10,$P$2*E10,$Q$2*F10,$R$2*G10,$S$2*H10,$T$2*I10))+J10*SUM($M$2*B10,$N$2*C10,$O$2*D10,$P$2*E10,$Q$2*F10,$R$2*G10,$S$2*H10,$T$2*I10)-LN(FACT(J10))</f>
        <v>-1.8238790008202947</v>
      </c>
      <c r="O13">
        <v>2</v>
      </c>
      <c r="P13">
        <v>2.2000000000000002</v>
      </c>
      <c r="Q13">
        <v>1.01</v>
      </c>
      <c r="R13">
        <v>1</v>
      </c>
      <c r="S13">
        <v>0</v>
      </c>
      <c r="T13">
        <v>1</v>
      </c>
      <c r="U13">
        <v>1</v>
      </c>
      <c r="V13">
        <v>1</v>
      </c>
      <c r="W13">
        <f>SUM(M2*O13,N2*P13,O2*Q13,P2*R13,Q2*S13,R2*T13,S2*U13,T2*V13)</f>
        <v>1.1127601982480559</v>
      </c>
    </row>
    <row r="14" spans="1:23" x14ac:dyDescent="0.2">
      <c r="A14">
        <v>13</v>
      </c>
      <c r="B14">
        <f>79.26/19</f>
        <v>4.1715789473684213</v>
      </c>
      <c r="C14">
        <f>53.35/19</f>
        <v>2.8078947368421052</v>
      </c>
      <c r="D14">
        <f>15.69/19</f>
        <v>0.82578947368421052</v>
      </c>
      <c r="E14">
        <f>31.26/19</f>
        <v>1.645263157894737</v>
      </c>
      <c r="F14">
        <v>1</v>
      </c>
      <c r="G14">
        <v>1</v>
      </c>
      <c r="H14">
        <v>1</v>
      </c>
      <c r="I14">
        <v>0</v>
      </c>
      <c r="J14">
        <v>3</v>
      </c>
      <c r="M14" s="2">
        <f t="shared" si="0"/>
        <v>-1.2384712227037045</v>
      </c>
    </row>
    <row r="15" spans="1:23" x14ac:dyDescent="0.2">
      <c r="A15">
        <v>14</v>
      </c>
      <c r="B15">
        <f>53.17/20</f>
        <v>2.6585000000000001</v>
      </c>
      <c r="C15">
        <f>59.78/20</f>
        <v>2.9889999999999999</v>
      </c>
      <c r="D15">
        <f>18.22/20</f>
        <v>0.91099999999999992</v>
      </c>
      <c r="E15">
        <f>21.71/20</f>
        <v>1.0855000000000001</v>
      </c>
      <c r="F15">
        <v>1</v>
      </c>
      <c r="G15">
        <v>0</v>
      </c>
      <c r="H15">
        <v>0</v>
      </c>
      <c r="I15">
        <v>1</v>
      </c>
      <c r="J15">
        <v>3</v>
      </c>
      <c r="M15" s="2">
        <f t="shared" si="0"/>
        <v>-1.4975880127895782</v>
      </c>
    </row>
    <row r="16" spans="1:23" x14ac:dyDescent="0.2">
      <c r="A16">
        <v>15</v>
      </c>
      <c r="B16">
        <f>60.2/20</f>
        <v>3.0100000000000002</v>
      </c>
      <c r="C16">
        <f>55.09/20</f>
        <v>2.7545000000000002</v>
      </c>
      <c r="D16">
        <f>21.98/20</f>
        <v>1.099</v>
      </c>
      <c r="E16">
        <f>21.63/20</f>
        <v>1.0814999999999999</v>
      </c>
      <c r="F16">
        <v>0</v>
      </c>
      <c r="G16">
        <v>1</v>
      </c>
      <c r="H16">
        <v>0</v>
      </c>
      <c r="I16">
        <v>0</v>
      </c>
      <c r="J16">
        <v>3</v>
      </c>
      <c r="M16" s="2">
        <f t="shared" si="0"/>
        <v>-1.7624393042436135</v>
      </c>
      <c r="O16" s="13" t="s">
        <v>23</v>
      </c>
      <c r="P16" s="13"/>
      <c r="Q16" s="13"/>
      <c r="R16" s="13"/>
      <c r="S16" s="13"/>
      <c r="T16" s="13"/>
    </row>
    <row r="17" spans="1:18" x14ac:dyDescent="0.2">
      <c r="A17">
        <v>16</v>
      </c>
      <c r="B17">
        <f>61.24/20</f>
        <v>3.0620000000000003</v>
      </c>
      <c r="C17">
        <f>59.39/20</f>
        <v>2.9695</v>
      </c>
      <c r="D17">
        <f>24.07/20</f>
        <v>1.2035</v>
      </c>
      <c r="E17">
        <f>23.59/20</f>
        <v>1.1795</v>
      </c>
      <c r="F17">
        <v>0</v>
      </c>
      <c r="G17">
        <v>1</v>
      </c>
      <c r="H17">
        <v>1</v>
      </c>
      <c r="I17">
        <v>0</v>
      </c>
      <c r="J17">
        <v>3</v>
      </c>
      <c r="M17" s="2">
        <f t="shared" si="0"/>
        <v>-1.4983903183445486</v>
      </c>
    </row>
    <row r="18" spans="1:18" x14ac:dyDescent="0.2">
      <c r="A18">
        <v>17</v>
      </c>
      <c r="B18">
        <f>75.06/20</f>
        <v>3.7530000000000001</v>
      </c>
      <c r="C18">
        <f>68.33/20</f>
        <v>3.4165000000000001</v>
      </c>
      <c r="D18">
        <f>20.11/20</f>
        <v>1.0055000000000001</v>
      </c>
      <c r="E18">
        <f>26.41/20</f>
        <v>1.3205</v>
      </c>
      <c r="F18">
        <v>0</v>
      </c>
      <c r="G18">
        <v>1</v>
      </c>
      <c r="H18">
        <v>1</v>
      </c>
      <c r="I18">
        <v>0</v>
      </c>
      <c r="J18">
        <v>3</v>
      </c>
      <c r="M18" s="2">
        <f t="shared" si="0"/>
        <v>-1.5173559869218431</v>
      </c>
      <c r="O18" t="s">
        <v>24</v>
      </c>
      <c r="P18" t="s">
        <v>25</v>
      </c>
      <c r="Q18" t="s">
        <v>26</v>
      </c>
      <c r="R18" t="s">
        <v>27</v>
      </c>
    </row>
    <row r="19" spans="1:18" x14ac:dyDescent="0.2">
      <c r="A19">
        <v>18</v>
      </c>
      <c r="B19">
        <f>57.25/20</f>
        <v>2.8624999999999998</v>
      </c>
      <c r="C19">
        <f>58.27/20</f>
        <v>2.9135</v>
      </c>
      <c r="D19">
        <f>21.67/20</f>
        <v>1.0835000000000001</v>
      </c>
      <c r="E19">
        <f>25.28/20</f>
        <v>1.264</v>
      </c>
      <c r="F19">
        <v>0</v>
      </c>
      <c r="G19">
        <v>1</v>
      </c>
      <c r="H19">
        <v>1</v>
      </c>
      <c r="I19">
        <v>0</v>
      </c>
      <c r="J19">
        <v>4</v>
      </c>
      <c r="M19" s="2">
        <f t="shared" si="0"/>
        <v>-1.7362748364668086</v>
      </c>
      <c r="O19">
        <f>COUNT(J2:J24)</f>
        <v>23</v>
      </c>
      <c r="P19">
        <f>SUM(J2:J24)</f>
        <v>64</v>
      </c>
      <c r="Q19" s="11">
        <v>0.9</v>
      </c>
      <c r="R19">
        <f>(1-Q19)/2</f>
        <v>4.9999999999999989E-2</v>
      </c>
    </row>
    <row r="20" spans="1:18" x14ac:dyDescent="0.2">
      <c r="A20">
        <v>19</v>
      </c>
      <c r="B20">
        <f>(27.62/19) + (25/20)</f>
        <v>2.7036842105263159</v>
      </c>
      <c r="C20">
        <f>(37.25/19) + (33.68/20)</f>
        <v>3.6445263157894736</v>
      </c>
      <c r="D20">
        <f>(13.52/19) + (8.62 /20)</f>
        <v>1.1425789473684209</v>
      </c>
      <c r="E20">
        <f>(8.83/19) + (11.14/20)</f>
        <v>1.0217368421052633</v>
      </c>
      <c r="F20">
        <v>0</v>
      </c>
      <c r="G20">
        <v>1</v>
      </c>
      <c r="H20">
        <v>1</v>
      </c>
      <c r="I20">
        <v>1</v>
      </c>
      <c r="J20">
        <v>5</v>
      </c>
      <c r="M20" s="2">
        <f t="shared" si="0"/>
        <v>-1.4996683973807907</v>
      </c>
      <c r="O20" t="s">
        <v>28</v>
      </c>
      <c r="P20" t="s">
        <v>29</v>
      </c>
    </row>
    <row r="21" spans="1:18" x14ac:dyDescent="0.2">
      <c r="A21">
        <v>20</v>
      </c>
      <c r="B21">
        <f>57.78/20</f>
        <v>2.8890000000000002</v>
      </c>
      <c r="C21">
        <f>57.89/20</f>
        <v>2.8944999999999999</v>
      </c>
      <c r="D21">
        <f>25.47/20</f>
        <v>1.2734999999999999</v>
      </c>
      <c r="E21">
        <f>19.58/20</f>
        <v>0.97899999999999987</v>
      </c>
      <c r="F21">
        <v>1</v>
      </c>
      <c r="G21" s="12">
        <v>0</v>
      </c>
      <c r="H21" s="12">
        <v>1</v>
      </c>
      <c r="I21" s="12">
        <v>0</v>
      </c>
      <c r="J21" s="12">
        <v>5</v>
      </c>
      <c r="M21" s="2">
        <f t="shared" si="0"/>
        <v>-1.5043984875210388</v>
      </c>
      <c r="O21" s="4">
        <f>_xlfn.CHISQ.INV.RT(1-R19,(2*P19)+2)</f>
        <v>104.6622312178192</v>
      </c>
      <c r="P21">
        <f>_xlfn.CHISQ.INV.RT(R19,(2*P19))</f>
        <v>155.40472085148207</v>
      </c>
    </row>
    <row r="22" spans="1:18" x14ac:dyDescent="0.2">
      <c r="A22">
        <v>21</v>
      </c>
      <c r="B22">
        <f>40.23/20</f>
        <v>2.0114999999999998</v>
      </c>
      <c r="C22">
        <f>63.67/20</f>
        <v>3.1835</v>
      </c>
      <c r="D22">
        <f>24.57/20</f>
        <v>1.2284999999999999</v>
      </c>
      <c r="E22">
        <f>16.05/20</f>
        <v>0.80249999999999999</v>
      </c>
      <c r="F22">
        <v>1</v>
      </c>
      <c r="G22">
        <v>1</v>
      </c>
      <c r="H22">
        <v>0</v>
      </c>
      <c r="I22">
        <v>0</v>
      </c>
      <c r="J22" s="12">
        <v>2</v>
      </c>
      <c r="M22" s="2">
        <f t="shared" si="0"/>
        <v>-1.866710555528083</v>
      </c>
      <c r="O22" t="s">
        <v>30</v>
      </c>
      <c r="P22" t="s">
        <v>31</v>
      </c>
    </row>
    <row r="23" spans="1:18" x14ac:dyDescent="0.2">
      <c r="A23">
        <v>22</v>
      </c>
      <c r="B23">
        <f>53.71/20</f>
        <v>2.6855000000000002</v>
      </c>
      <c r="C23">
        <f>57.72/20</f>
        <v>2.8860000000000001</v>
      </c>
      <c r="D23">
        <f>21.24/20</f>
        <v>1.0619999999999998</v>
      </c>
      <c r="E23">
        <f>23.67/20</f>
        <v>1.1835</v>
      </c>
      <c r="F23">
        <v>1</v>
      </c>
      <c r="G23">
        <v>1</v>
      </c>
      <c r="H23">
        <v>1</v>
      </c>
      <c r="I23">
        <v>0</v>
      </c>
      <c r="J23" s="12">
        <v>4</v>
      </c>
      <c r="M23" s="2">
        <f t="shared" si="0"/>
        <v>-1.8473681850619137</v>
      </c>
      <c r="O23">
        <f>(1/(2*O19))*O21</f>
        <v>2.2752658960395475</v>
      </c>
      <c r="P23">
        <f>(1/(2*O19))*P21</f>
        <v>3.3783634967713492</v>
      </c>
    </row>
    <row r="24" spans="1:18" x14ac:dyDescent="0.2">
      <c r="A24">
        <v>23</v>
      </c>
      <c r="B24">
        <f>(36.25/19) + (50.75/20)</f>
        <v>4.4453947368421058</v>
      </c>
      <c r="C24">
        <f>(25.19/19) + (23.97/20)</f>
        <v>2.5242894736842105</v>
      </c>
      <c r="D24">
        <f>(15.1/19) + (10.03/20)</f>
        <v>1.2962368421052632</v>
      </c>
      <c r="E24">
        <f>(9.81/19) + (15.56/20)</f>
        <v>1.2943157894736843</v>
      </c>
      <c r="F24">
        <v>1</v>
      </c>
      <c r="G24">
        <v>1</v>
      </c>
      <c r="H24">
        <v>1</v>
      </c>
      <c r="I24">
        <v>0</v>
      </c>
      <c r="J24" s="12">
        <v>2</v>
      </c>
      <c r="M24" s="2">
        <f t="shared" si="0"/>
        <v>-2.3918957734519726</v>
      </c>
    </row>
    <row r="25" spans="1:18" x14ac:dyDescent="0.2">
      <c r="M25" s="2">
        <f>-EXP(SUM($M$2*B22,$N$2*C22,$O$2*D22,$P$2*E22,$Q$2*F22,$R$2*G22,$S$2*H22,$T$2*I22))+J22*SUM($M$2*B22,$N$2*C22,$O$2*D22,$P$2*E22,$Q$2*F22,$R$2*G22,$S$2*H22,$T$2*I22)-LN(FACT(J22))</f>
        <v>-1.3068880003341139</v>
      </c>
    </row>
    <row r="26" spans="1:18" x14ac:dyDescent="0.2">
      <c r="M26" s="2">
        <f t="shared" si="0"/>
        <v>-1.8541581391790336</v>
      </c>
    </row>
    <row r="27" spans="1:18" x14ac:dyDescent="0.2">
      <c r="M27" s="2">
        <f>-EXP(SUM($M$2*B24,$N$2*C24,$O$2*D24,$P$2*E24,$Q$2*F24,$R$2*G24,$S$2*H24,$T$2*I24))+J24*SUM($M$2*B24,$N$2*C24,$O$2*D24,$P$2*E24,$Q$2*F24,$R$2*G24,$S$2*H24,$T$2*I24)-LN(FACT(J24))</f>
        <v>-1.5136675372836494</v>
      </c>
    </row>
    <row r="28" spans="1:18" x14ac:dyDescent="0.2">
      <c r="L28" t="s">
        <v>19</v>
      </c>
      <c r="M28" s="2">
        <f>SUM(M5:M27)</f>
        <v>-38.064823285411229</v>
      </c>
    </row>
    <row r="29" spans="1:18" x14ac:dyDescent="0.2">
      <c r="M29" s="2"/>
    </row>
  </sheetData>
  <mergeCells count="1">
    <mergeCell ref="O16:T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B3BE-EC69-554D-95B6-FC3C300B40BC}">
  <dimension ref="A1:AG13"/>
  <sheetViews>
    <sheetView topLeftCell="J1" workbookViewId="0">
      <selection activeCell="O13" sqref="O13"/>
    </sheetView>
  </sheetViews>
  <sheetFormatPr baseColWidth="10" defaultRowHeight="16" x14ac:dyDescent="0.2"/>
  <cols>
    <col min="3" max="3" width="20.5" customWidth="1"/>
    <col min="4" max="4" width="22.33203125" customWidth="1"/>
    <col min="5" max="5" width="19.33203125" customWidth="1"/>
    <col min="6" max="6" width="18" customWidth="1"/>
    <col min="7" max="7" width="19.6640625" customWidth="1"/>
    <col min="8" max="8" width="20.1640625" customWidth="1"/>
    <col min="9" max="9" width="19.6640625" customWidth="1"/>
    <col min="10" max="10" width="21.33203125" customWidth="1"/>
    <col min="11" max="11" width="18.83203125" customWidth="1"/>
    <col min="12" max="12" width="19.83203125" customWidth="1"/>
    <col min="13" max="13" width="20.6640625" customWidth="1"/>
    <col min="14" max="14" width="18.33203125" customWidth="1"/>
    <col min="15" max="15" width="12.6640625" bestFit="1" customWidth="1"/>
    <col min="16" max="16" width="19.6640625" customWidth="1"/>
    <col min="17" max="18" width="22.5" customWidth="1"/>
    <col min="20" max="20" width="19.83203125" bestFit="1" customWidth="1"/>
    <col min="22" max="22" width="19.8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Y1" t="s">
        <v>21</v>
      </c>
    </row>
    <row r="2" spans="1:33" x14ac:dyDescent="0.2">
      <c r="A2">
        <v>1</v>
      </c>
      <c r="B2">
        <f>(27.42 + 26.81)/18</f>
        <v>3.012777777777778</v>
      </c>
      <c r="C2">
        <f>(22.19 + 28.59)/18</f>
        <v>2.8211111111111111</v>
      </c>
      <c r="D2">
        <f>(6.84 + 8.35)/18</f>
        <v>0.84388888888888891</v>
      </c>
      <c r="E2">
        <f>(13.07 + 11.15)/18</f>
        <v>1.3455555555555554</v>
      </c>
      <c r="F2">
        <v>0</v>
      </c>
      <c r="G2">
        <v>1</v>
      </c>
      <c r="H2">
        <v>1</v>
      </c>
      <c r="I2">
        <v>0</v>
      </c>
      <c r="J2">
        <v>2</v>
      </c>
      <c r="O2" s="4">
        <v>0</v>
      </c>
      <c r="P2">
        <v>0.26342731372510642</v>
      </c>
      <c r="Q2" s="4">
        <v>0</v>
      </c>
      <c r="R2">
        <v>2.8893718188517468E-2</v>
      </c>
      <c r="S2" s="5">
        <v>0</v>
      </c>
      <c r="T2" s="4">
        <v>0</v>
      </c>
      <c r="U2">
        <v>0.27007817074298418</v>
      </c>
      <c r="V2" s="4">
        <v>0.15904303597402855</v>
      </c>
    </row>
    <row r="3" spans="1:33" x14ac:dyDescent="0.2">
      <c r="A3">
        <v>2</v>
      </c>
      <c r="B3">
        <f>(24.43 + 23.02)/19</f>
        <v>2.4973684210526317</v>
      </c>
      <c r="C3">
        <f>(30.03 + 30.92)/19</f>
        <v>3.2078947368421056</v>
      </c>
      <c r="D3">
        <f>(10.94 + 13.09)/19</f>
        <v>1.2647368421052632</v>
      </c>
      <c r="E3">
        <f xml:space="preserve"> (9.69 + 8.37)/19</f>
        <v>0.95052631578947366</v>
      </c>
      <c r="F3">
        <v>1</v>
      </c>
      <c r="G3">
        <v>1</v>
      </c>
      <c r="H3">
        <v>1</v>
      </c>
      <c r="I3">
        <v>0</v>
      </c>
      <c r="J3">
        <v>4</v>
      </c>
    </row>
    <row r="4" spans="1:33" x14ac:dyDescent="0.2">
      <c r="A4">
        <v>3</v>
      </c>
      <c r="B4">
        <f>(27 + 23.02)/19</f>
        <v>2.6326315789473682</v>
      </c>
      <c r="C4">
        <f>(24.41 + 30.57)/19</f>
        <v>2.8936842105263159</v>
      </c>
      <c r="D4">
        <f>(7.84 + 15.08)/19</f>
        <v>1.2063157894736842</v>
      </c>
      <c r="E4">
        <f xml:space="preserve"> (12.73 + 9.81)/19</f>
        <v>1.1863157894736842</v>
      </c>
      <c r="F4">
        <v>1</v>
      </c>
      <c r="G4">
        <v>1</v>
      </c>
      <c r="H4">
        <v>1</v>
      </c>
      <c r="I4">
        <v>0</v>
      </c>
      <c r="J4">
        <v>2</v>
      </c>
      <c r="O4" t="s">
        <v>22</v>
      </c>
      <c r="P4" t="s">
        <v>20</v>
      </c>
    </row>
    <row r="5" spans="1:33" x14ac:dyDescent="0.2">
      <c r="A5">
        <v>4</v>
      </c>
      <c r="B5">
        <f>(31.41 + 27.27)/19</f>
        <v>3.088421052631579</v>
      </c>
      <c r="C5">
        <f>(22.09 + 28.56)/19</f>
        <v>2.6657894736842103</v>
      </c>
      <c r="D5">
        <f>(11.35 + 12.61)/19</f>
        <v>1.2610526315789474</v>
      </c>
      <c r="E5">
        <f xml:space="preserve"> (13.35 + 10.94)/19</f>
        <v>1.2784210526315789</v>
      </c>
      <c r="F5">
        <v>1</v>
      </c>
      <c r="G5">
        <v>1</v>
      </c>
      <c r="H5">
        <v>1</v>
      </c>
      <c r="I5">
        <v>0</v>
      </c>
      <c r="J5">
        <v>2</v>
      </c>
      <c r="O5">
        <f>-EXP(SUM($O$2*B2,$P$2*C2,$Q$2*D2,$R$2*E2,$S$2*F2,$T$2*G2,$U$2*H2,$V$2*I2))+J2*SUM($O$2*B2,$P$2*C2,$Q$2*D2,$R$2*E2,$S$2*F2,$T$2*G2,$U$2*H2,$V$2*I2)-LN(FACT(J2))</f>
        <v>-1.4526177591110345</v>
      </c>
      <c r="P5" t="e">
        <f>LOG10(-O28)</f>
        <v>#NUM!</v>
      </c>
      <c r="Y5">
        <v>1</v>
      </c>
    </row>
    <row r="6" spans="1:33" x14ac:dyDescent="0.2">
      <c r="A6">
        <v>5</v>
      </c>
      <c r="B6">
        <f>(18.97 + 19.67)/18</f>
        <v>2.1466666666666665</v>
      </c>
      <c r="C6">
        <f>(29.27 + 27.99)/18</f>
        <v>3.181111111111111</v>
      </c>
      <c r="D6">
        <f>(11.41 + 13.7)/18</f>
        <v>1.395</v>
      </c>
      <c r="E6">
        <f xml:space="preserve"> (8.02 + 8.86)/18</f>
        <v>0.93777777777777771</v>
      </c>
      <c r="F6">
        <v>1</v>
      </c>
      <c r="G6">
        <v>1</v>
      </c>
      <c r="H6">
        <v>1</v>
      </c>
      <c r="I6">
        <v>0</v>
      </c>
      <c r="J6">
        <v>3</v>
      </c>
      <c r="O6">
        <f>-EXP(SUM($O$2*B3,$P$2*C3,$Q$2*D3,$R$2*E3,$S$2*F3,$T$2*G3,$U$2*H3,$V$2*I3))+J3*SUM($O$2*B3,$P$2*C3,$Q$2*D3,$R$2*E3,$S$2*F3,$T$2*G3,$U$2*H3,$V$2*I3)-LN(FACT(J3))</f>
        <v>-1.7425714515472563</v>
      </c>
      <c r="Y6" s="11">
        <f>_xlfn.POISSON.DIST(Y5,$AG$8,FALSE)</f>
        <v>0.36786772685203273</v>
      </c>
    </row>
    <row r="7" spans="1:33" x14ac:dyDescent="0.2">
      <c r="A7">
        <v>6</v>
      </c>
      <c r="B7">
        <f>(28.94 /19)+ (32.18/18)</f>
        <v>3.3109356725146197</v>
      </c>
      <c r="C7">
        <f>(31.35/19) + (17.79/18)</f>
        <v>2.6383333333333336</v>
      </c>
      <c r="D7">
        <f>(10.34/19) + (15.37/18)</f>
        <v>1.3980994152046784</v>
      </c>
      <c r="E7">
        <f xml:space="preserve"> (11.47/19) + (15.29/18)</f>
        <v>1.4531286549707603</v>
      </c>
      <c r="F7">
        <v>1</v>
      </c>
      <c r="G7">
        <v>1</v>
      </c>
      <c r="H7">
        <v>1</v>
      </c>
      <c r="I7">
        <v>1</v>
      </c>
      <c r="J7">
        <v>2</v>
      </c>
      <c r="O7">
        <f>-EXP(SUM($O$2*B4,$P$2*C4,$Q$2*D4,$R$2*E4,$S$2*F4,$T$2*G4,$U$2*H4,$V$2*I4))+J4*SUM($O$2*B4,$P$2*C4,$Q$2*D4,$R$2*E4,$S$2*F4,$T$2*G4,$U$2*H4,$V$2*I4)-LN(FACT(J4))</f>
        <v>-1.4654590246710533</v>
      </c>
      <c r="Y7" t="s">
        <v>1</v>
      </c>
      <c r="Z7" t="s">
        <v>2</v>
      </c>
      <c r="AA7" t="s">
        <v>3</v>
      </c>
      <c r="AB7" t="s">
        <v>4</v>
      </c>
      <c r="AC7" t="s">
        <v>5</v>
      </c>
      <c r="AD7" t="s">
        <v>6</v>
      </c>
      <c r="AE7" t="s">
        <v>7</v>
      </c>
      <c r="AF7" t="s">
        <v>9</v>
      </c>
      <c r="AG7" t="s">
        <v>8</v>
      </c>
    </row>
    <row r="8" spans="1:33" x14ac:dyDescent="0.2">
      <c r="A8">
        <v>7</v>
      </c>
      <c r="B8">
        <f xml:space="preserve"> (22.14/18) + (23.4/19)</f>
        <v>2.4615789473684209</v>
      </c>
      <c r="C8">
        <f>(28.82/18) + (25.42/19)</f>
        <v>2.9390058479532164</v>
      </c>
      <c r="D8">
        <f>(11.52/18) + (14.85/19)</f>
        <v>1.4215789473684211</v>
      </c>
      <c r="E8">
        <f>(8.74/18) + (11.21/19)</f>
        <v>1.0755555555555556</v>
      </c>
      <c r="F8">
        <v>0</v>
      </c>
      <c r="G8">
        <v>1</v>
      </c>
      <c r="H8">
        <v>1</v>
      </c>
      <c r="I8">
        <v>0</v>
      </c>
      <c r="J8">
        <v>1</v>
      </c>
      <c r="O8">
        <f>-EXP(SUM($O$2*B5,$P$2*C5,$Q$2*D5,$R$2*E5,$S$2*F5,$T$2*G5,$U$2*H5,$V$2*I5))+J5*SUM($O$2*B5,$P$2*C5,$Q$2*D5,$R$2*E5,$S$2*F5,$T$2*G5,$U$2*H5,$V$2*I5)-LN(FACT(J5))</f>
        <v>-1.4181959148043104</v>
      </c>
      <c r="Y8">
        <v>2.5</v>
      </c>
      <c r="Z8">
        <v>2.62</v>
      </c>
      <c r="AA8">
        <v>0.7</v>
      </c>
      <c r="AB8">
        <v>1.1000000000000001</v>
      </c>
      <c r="AC8">
        <v>1</v>
      </c>
      <c r="AD8">
        <v>1</v>
      </c>
      <c r="AE8">
        <v>1</v>
      </c>
      <c r="AF8">
        <v>0</v>
      </c>
      <c r="AG8">
        <f>SUM(O2*Y8,P2*Z8,Q2*AA8,R2*AB8,S2*AC8,T2*AD8,U2*AE8,V2*AF8)</f>
        <v>0.99204082271013228</v>
      </c>
    </row>
    <row r="9" spans="1:33" x14ac:dyDescent="0.2">
      <c r="A9">
        <v>8</v>
      </c>
      <c r="B9">
        <f>(30.24 + 42.91)/18</f>
        <v>4.0638888888888882</v>
      </c>
      <c r="C9">
        <f>(19.82 + 18.48)/18</f>
        <v>2.1277777777777778</v>
      </c>
      <c r="D9">
        <f>(11.28 + 8.59)/18</f>
        <v>1.1038888888888887</v>
      </c>
      <c r="E9">
        <f xml:space="preserve"> (14.95 + 18.68)/18</f>
        <v>1.8683333333333332</v>
      </c>
      <c r="F9">
        <v>0</v>
      </c>
      <c r="G9">
        <v>1</v>
      </c>
      <c r="H9">
        <v>1</v>
      </c>
      <c r="I9">
        <v>0</v>
      </c>
      <c r="J9">
        <v>4</v>
      </c>
      <c r="O9">
        <f>-EXP(SUM($O$2*B6,$P$2*C6,$Q$2*D6,$R$2*E6,$S$2*F6,$T$2*G6,$U$2*H6,$V$2*I6))+J6*SUM($O$2*B6,$P$2*C6,$Q$2*D6,$R$2*E6,$S$2*F6,$T$2*G6,$U$2*H6,$V$2*I6)-LN(FACT(J6))</f>
        <v>-1.4979514665005773</v>
      </c>
    </row>
    <row r="10" spans="1:33" x14ac:dyDescent="0.2">
      <c r="O10">
        <f>-EXP(SUM($O$2*B7,$P$2*C7,$Q$2*D7,$R$2*E7,$S$2*F7,$T$2*G7,$U$2*H7,$V$2*I7))+J7*SUM($O$2*B7,$P$2*C7,$Q$2*D7,$R$2*E7,$S$2*F7,$T$2*G7,$U$2*H7,$V$2*I7)-LN(FACT(J7))</f>
        <v>-1.5704185473085341</v>
      </c>
      <c r="X10">
        <v>0</v>
      </c>
      <c r="Z10">
        <v>2</v>
      </c>
      <c r="AA10">
        <v>3</v>
      </c>
      <c r="AB10">
        <v>4</v>
      </c>
      <c r="AC10">
        <v>5</v>
      </c>
      <c r="AD10">
        <v>6</v>
      </c>
      <c r="AE10">
        <v>7</v>
      </c>
      <c r="AF10">
        <v>8</v>
      </c>
    </row>
    <row r="11" spans="1:33" x14ac:dyDescent="0.2">
      <c r="O11">
        <f>-EXP(SUM($O$2*B8,$P$2*C8,$Q$2*D8,$R$2*E8,$S$2*F8,$T$2*G8,$U$2*H8,$V$2*I8))+J8*SUM($O$2*B8,$P$2*C8,$Q$2*D8,$R$2*E8,$S$2*F8,$T$2*G8,$U$2*H8,$V$2*I8)-LN(FACT(J8))</f>
        <v>-1.8557060116694595</v>
      </c>
      <c r="X11" s="11">
        <f>_xlfn.POISSON.DIST(X10,$AG$8,FALSE)</f>
        <v>0.37081914214685624</v>
      </c>
      <c r="Z11" s="11">
        <f>_xlfn.POISSON.DIST(Z10,$AG$8,FALSE)</f>
        <v>0.18246990119739839</v>
      </c>
      <c r="AA11" s="11">
        <f>_xlfn.POISSON.DIST(AA10,$AG$8,FALSE)</f>
        <v>6.0339196967901215E-2</v>
      </c>
      <c r="AB11" s="11">
        <f>_xlfn.POISSON.DIST(AB10,$AG$8,FALSE)</f>
        <v>1.4964736650426358E-2</v>
      </c>
      <c r="AC11" s="11">
        <f>_xlfn.POISSON.DIST(AC10,$AG$8,FALSE)</f>
        <v>2.9691259316658876E-3</v>
      </c>
      <c r="AD11" s="11">
        <f>_xlfn.POISSON.DIST(AD10,$AG$8,FALSE)</f>
        <v>4.9091568866330235E-4</v>
      </c>
      <c r="AE11" s="11">
        <f>_xlfn.POISSON.DIST(AE10,$AG$8,FALSE)</f>
        <v>6.9572629094693484E-5</v>
      </c>
      <c r="AF11" s="11">
        <f>_xlfn.POISSON.DIST(AF10,$AG$8,FALSE)</f>
        <v>8.6273610256507934E-6</v>
      </c>
    </row>
    <row r="12" spans="1:33" x14ac:dyDescent="0.2">
      <c r="O12">
        <f>-EXP(SUM($O$2*B9,$P$2*C9,$Q$2*D9,$R$2*E9,$S$2*F9,$T$2*G9,$U$2*H9,$V$2*I9))+J9*SUM($O$2*B9,$P$2*C9,$Q$2*D9,$R$2*E9,$S$2*F9,$T$2*G9,$U$2*H9,$V$2*I9)-LN(FACT(J9))</f>
        <v>-2.0617070125345025</v>
      </c>
    </row>
    <row r="13" spans="1:33" x14ac:dyDescent="0.2">
      <c r="N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948-03FD-7D4F-8BC6-7C7D95EBB42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 liga</vt:lpstr>
      <vt:lpstr>modelo serie a</vt:lpstr>
      <vt:lpstr>modelo premier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vargascarrillosantiago@gmail.com</dc:creator>
  <cp:lastModifiedBy>vargascarrillosantiago@gmail.com</cp:lastModifiedBy>
  <dcterms:created xsi:type="dcterms:W3CDTF">2026-01-10T01:04:35Z</dcterms:created>
  <dcterms:modified xsi:type="dcterms:W3CDTF">2026-01-29T18:15:31Z</dcterms:modified>
</cp:coreProperties>
</file>